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erything\"/>
    </mc:Choice>
  </mc:AlternateContent>
  <xr:revisionPtr revIDLastSave="0" documentId="13_ncr:1_{45B47A1B-1355-4A33-8B27-58DD16EB64BF}" xr6:coauthVersionLast="47" xr6:coauthVersionMax="47" xr10:uidLastSave="{00000000-0000-0000-0000-000000000000}"/>
  <bookViews>
    <workbookView xWindow="-110" yWindow="-110" windowWidth="21820" windowHeight="14620" xr2:uid="{A08FA3B7-0E9C-4847-9892-ED38E6BAC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9" i="1"/>
  <c r="I8" i="1"/>
  <c r="G10" i="1"/>
  <c r="G9" i="1"/>
  <c r="G8" i="1"/>
  <c r="I15" i="1" s="1"/>
  <c r="J16" i="1"/>
  <c r="J17" i="1"/>
  <c r="J15" i="1"/>
  <c r="I16" i="1"/>
  <c r="I17" i="1"/>
  <c r="H16" i="1"/>
  <c r="H17" i="1"/>
  <c r="H15" i="1"/>
  <c r="G16" i="1"/>
  <c r="G17" i="1"/>
  <c r="G15" i="1"/>
  <c r="E10" i="1"/>
  <c r="E9" i="1"/>
  <c r="E8" i="1"/>
  <c r="H9" i="1"/>
  <c r="H10" i="1"/>
  <c r="H8" i="1"/>
  <c r="F9" i="1"/>
  <c r="F10" i="1"/>
  <c r="F8" i="1"/>
  <c r="D9" i="1"/>
  <c r="D10" i="1"/>
  <c r="D8" i="1"/>
</calcChain>
</file>

<file path=xl/sharedStrings.xml><?xml version="1.0" encoding="utf-8"?>
<sst xmlns="http://schemas.openxmlformats.org/spreadsheetml/2006/main" count="26" uniqueCount="25">
  <si>
    <t>Total Subscribers Analysis</t>
  </si>
  <si>
    <t xml:space="preserve">Channel Name </t>
  </si>
  <si>
    <t>Avg Views per Vid(Excel)</t>
  </si>
  <si>
    <t>Reconciliations(Excel vs SQL)</t>
  </si>
  <si>
    <t>Avg Views per Vid(SQL)</t>
  </si>
  <si>
    <t>Potential Product Sales per video(Excel)</t>
  </si>
  <si>
    <t>Potential Product Sales per video(SQL)</t>
  </si>
  <si>
    <t>Net profit(Excel)</t>
  </si>
  <si>
    <t>Net profit(SQL)</t>
  </si>
  <si>
    <t>Conversion rate</t>
  </si>
  <si>
    <t>Product rate</t>
  </si>
  <si>
    <t>Campaign cost</t>
  </si>
  <si>
    <t>T-Series</t>
  </si>
  <si>
    <t>SET India</t>
  </si>
  <si>
    <t>Zee Music Company</t>
  </si>
  <si>
    <t>Potenetial revenue per video(Rupees)(Excel)</t>
  </si>
  <si>
    <t>Potenetial revenue per video(Rupees)(SQL)</t>
  </si>
  <si>
    <t xml:space="preserve"> </t>
  </si>
  <si>
    <t>Avg Views per Vid(Excel vs SQL)</t>
  </si>
  <si>
    <t>Potential product Sales per Video (Excel vs SQL)</t>
  </si>
  <si>
    <t>Potential revenue per Video (Rupees)(Excel vs SQL)</t>
  </si>
  <si>
    <t>Net profit(Excel vs SQL)</t>
  </si>
  <si>
    <t>Difference(Excel vs SQL)</t>
  </si>
  <si>
    <t xml:space="preserve">Based on the viewership and views per subscriber, T Series appears to be the best option to advance with because there's a higher return on investment with T Series compared to the other channels 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</si>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</sst>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6">
    <xf numFmtId="0" fontId="0" fillId="0" borderId="0" xfId="0"/>
    <xf numFmtId="0" fontId="3" fillId="7" borderId="0" xfId="0" applyFont="1" applyFill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1" fillId="6" borderId="1" xfId="5" applyBorder="1"/>
    <xf numFmtId="3" fontId="0" fillId="0" borderId="1" xfId="0" applyNumberFormat="1" applyBorder="1"/>
    <xf numFmtId="0" fontId="1" fillId="2" borderId="1" xfId="1" applyBorder="1" applyAlignment="1">
      <alignment horizontal="center" wrapText="1"/>
    </xf>
    <xf numFmtId="0" fontId="1" fillId="3" borderId="1" xfId="2" applyBorder="1" applyAlignment="1">
      <alignment horizontal="center" wrapText="1"/>
    </xf>
    <xf numFmtId="0" fontId="1" fillId="4" borderId="1" xfId="3" applyBorder="1" applyAlignment="1">
      <alignment horizontal="center" wrapText="1"/>
    </xf>
    <xf numFmtId="0" fontId="1" fillId="5" borderId="1" xfId="4" applyBorder="1" applyAlignment="1">
      <alignment horizontal="center" wrapText="1"/>
    </xf>
    <xf numFmtId="0" fontId="2" fillId="15" borderId="2" xfId="0" applyFont="1" applyFill="1" applyBorder="1"/>
    <xf numFmtId="0" fontId="2" fillId="15" borderId="3" xfId="0" applyFont="1" applyFill="1" applyBorder="1"/>
    <xf numFmtId="0" fontId="0" fillId="14" borderId="2" xfId="0" applyFill="1" applyBorder="1" applyAlignment="1">
      <alignment horizontal="center" wrapText="1"/>
    </xf>
    <xf numFmtId="3" fontId="0" fillId="0" borderId="2" xfId="0" applyNumberFormat="1" applyBorder="1"/>
    <xf numFmtId="0" fontId="0" fillId="16" borderId="0" xfId="0" applyFill="1" applyBorder="1" applyAlignment="1">
      <alignment horizontal="center" wrapText="1"/>
    </xf>
    <xf numFmtId="3" fontId="0" fillId="0" borderId="0" xfId="0" applyNumberFormat="1" applyBorder="1"/>
    <xf numFmtId="0" fontId="0" fillId="0" borderId="0" xfId="0" applyAlignment="1">
      <alignment horizontal="center" wrapText="1"/>
    </xf>
  </cellXfs>
  <cellStyles count="6">
    <cellStyle name="40% - Accent1" xfId="1" builtinId="31"/>
    <cellStyle name="40% - Accent2" xfId="2" builtinId="35"/>
    <cellStyle name="40% - Accent3" xfId="3" builtinId="39"/>
    <cellStyle name="40% - Accent4" xfId="4" builtinId="43"/>
    <cellStyle name="60% - Accent4" xfId="5" builtinId="44"/>
    <cellStyle name="Normal" xfId="0" builtinId="0"/>
  </cellStyles>
  <dxfs count="1">
    <dxf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96A9-16A0-49F6-BD26-FCC9714FC8EC}">
  <dimension ref="A1:J28"/>
  <sheetViews>
    <sheetView tabSelected="1" topLeftCell="C1" workbookViewId="0">
      <selection activeCell="F30" sqref="F30"/>
    </sheetView>
  </sheetViews>
  <sheetFormatPr defaultRowHeight="14.5" x14ac:dyDescent="0.35"/>
  <cols>
    <col min="1" max="1" width="17.26953125" customWidth="1"/>
    <col min="2" max="2" width="13.1796875" customWidth="1"/>
    <col min="3" max="3" width="21.1796875" bestFit="1" customWidth="1"/>
    <col min="4" max="4" width="23.6328125" customWidth="1"/>
    <col min="5" max="5" width="14.54296875" customWidth="1"/>
    <col min="6" max="6" width="21.1796875" customWidth="1"/>
    <col min="7" max="7" width="21.7265625" customWidth="1"/>
    <col min="8" max="8" width="24.54296875" customWidth="1"/>
    <col min="9" max="9" width="21.26953125" customWidth="1"/>
    <col min="10" max="10" width="16.36328125" customWidth="1"/>
  </cols>
  <sheetData>
    <row r="1" spans="1:10" ht="23.5" x14ac:dyDescent="0.55000000000000004">
      <c r="A1" s="1" t="s">
        <v>0</v>
      </c>
      <c r="B1" s="1"/>
      <c r="C1" s="1"/>
      <c r="D1" s="1"/>
    </row>
    <row r="3" spans="1:10" x14ac:dyDescent="0.35">
      <c r="A3" s="2" t="s">
        <v>3</v>
      </c>
      <c r="C3" s="13" t="s">
        <v>9</v>
      </c>
      <c r="D3" s="3">
        <v>0.02</v>
      </c>
    </row>
    <row r="4" spans="1:10" x14ac:dyDescent="0.35">
      <c r="C4" s="13" t="s">
        <v>10</v>
      </c>
      <c r="D4" s="3">
        <v>5</v>
      </c>
    </row>
    <row r="5" spans="1:10" x14ac:dyDescent="0.35">
      <c r="C5" s="13" t="s">
        <v>11</v>
      </c>
      <c r="D5" s="14">
        <v>10000</v>
      </c>
    </row>
    <row r="7" spans="1:10" s="5" customFormat="1" ht="47" customHeight="1" x14ac:dyDescent="0.35">
      <c r="A7" s="4" t="s">
        <v>1</v>
      </c>
      <c r="B7" s="6" t="s">
        <v>2</v>
      </c>
      <c r="C7" s="7" t="s">
        <v>4</v>
      </c>
      <c r="D7" s="8" t="s">
        <v>5</v>
      </c>
      <c r="E7" s="9" t="s">
        <v>6</v>
      </c>
      <c r="F7" s="10" t="s">
        <v>15</v>
      </c>
      <c r="G7" s="11" t="s">
        <v>16</v>
      </c>
      <c r="H7" s="12" t="s">
        <v>7</v>
      </c>
      <c r="I7" s="21" t="s">
        <v>8</v>
      </c>
      <c r="J7" s="23"/>
    </row>
    <row r="8" spans="1:10" x14ac:dyDescent="0.35">
      <c r="A8" s="3" t="s">
        <v>12</v>
      </c>
      <c r="B8" s="14">
        <v>12150000</v>
      </c>
      <c r="C8" s="14">
        <v>12150000</v>
      </c>
      <c r="D8" s="14">
        <f>B8*$D$3</f>
        <v>243000</v>
      </c>
      <c r="E8" s="14">
        <f>C8*$D$3</f>
        <v>243000</v>
      </c>
      <c r="F8" s="14">
        <f>D8*$D$4</f>
        <v>1215000</v>
      </c>
      <c r="G8" s="14">
        <f>E8*$D$4</f>
        <v>1215000</v>
      </c>
      <c r="H8" s="14">
        <f>F8-$D$5</f>
        <v>1205000</v>
      </c>
      <c r="I8" s="22">
        <f>G8-$D$5</f>
        <v>1205000</v>
      </c>
      <c r="J8" s="24"/>
    </row>
    <row r="9" spans="1:10" x14ac:dyDescent="0.35">
      <c r="A9" s="3" t="s">
        <v>13</v>
      </c>
      <c r="B9" s="14">
        <v>1110000</v>
      </c>
      <c r="C9" s="14">
        <v>1110000</v>
      </c>
      <c r="D9" s="14">
        <f t="shared" ref="D9:E10" si="0">B9*$D$3</f>
        <v>22200</v>
      </c>
      <c r="E9" s="14">
        <f t="shared" si="0"/>
        <v>22200</v>
      </c>
      <c r="F9" s="14">
        <f t="shared" ref="F9:G10" si="1">D9*$D$4</f>
        <v>111000</v>
      </c>
      <c r="G9" s="14">
        <f t="shared" si="1"/>
        <v>111000</v>
      </c>
      <c r="H9" s="14">
        <f t="shared" ref="H9:I10" si="2">F9-$D$5</f>
        <v>101000</v>
      </c>
      <c r="I9" s="22">
        <f t="shared" si="2"/>
        <v>101000</v>
      </c>
      <c r="J9" s="24"/>
    </row>
    <row r="10" spans="1:10" x14ac:dyDescent="0.35">
      <c r="A10" s="3" t="s">
        <v>14</v>
      </c>
      <c r="B10" s="14">
        <v>5300000</v>
      </c>
      <c r="C10" s="14">
        <v>5300000</v>
      </c>
      <c r="D10" s="14">
        <f t="shared" si="0"/>
        <v>106000</v>
      </c>
      <c r="E10" s="14">
        <f t="shared" si="0"/>
        <v>106000</v>
      </c>
      <c r="F10" s="14">
        <f t="shared" si="1"/>
        <v>530000</v>
      </c>
      <c r="G10" s="14">
        <f t="shared" si="1"/>
        <v>530000</v>
      </c>
      <c r="H10" s="14">
        <f t="shared" si="2"/>
        <v>520000</v>
      </c>
      <c r="I10" s="22">
        <f t="shared" si="2"/>
        <v>520000</v>
      </c>
      <c r="J10" s="24"/>
    </row>
    <row r="13" spans="1:10" x14ac:dyDescent="0.35">
      <c r="G13" s="19" t="s">
        <v>22</v>
      </c>
      <c r="H13" s="20"/>
      <c r="I13" s="3"/>
      <c r="J13" s="3"/>
    </row>
    <row r="14" spans="1:10" s="5" customFormat="1" ht="43" customHeight="1" x14ac:dyDescent="0.35">
      <c r="E14" s="5" t="s">
        <v>17</v>
      </c>
      <c r="G14" s="15" t="s">
        <v>18</v>
      </c>
      <c r="H14" s="16" t="s">
        <v>19</v>
      </c>
      <c r="I14" s="17" t="s">
        <v>20</v>
      </c>
      <c r="J14" s="18" t="s">
        <v>21</v>
      </c>
    </row>
    <row r="15" spans="1:10" x14ac:dyDescent="0.35">
      <c r="G15" s="14">
        <f>B8-C8</f>
        <v>0</v>
      </c>
      <c r="H15" s="14">
        <f>D8-E8</f>
        <v>0</v>
      </c>
      <c r="I15" s="14">
        <f>F8-G8</f>
        <v>0</v>
      </c>
      <c r="J15" s="14">
        <f>H8-I8</f>
        <v>0</v>
      </c>
    </row>
    <row r="16" spans="1:10" x14ac:dyDescent="0.35">
      <c r="G16" s="14">
        <f t="shared" ref="G16:G17" si="3">B9-C9</f>
        <v>0</v>
      </c>
      <c r="H16" s="14">
        <f t="shared" ref="H16:H17" si="4">D9-E9</f>
        <v>0</v>
      </c>
      <c r="I16" s="14">
        <f t="shared" ref="I16:I17" si="5">F9-G9</f>
        <v>0</v>
      </c>
      <c r="J16" s="14">
        <f t="shared" ref="J16:J17" si="6">H9-I9</f>
        <v>0</v>
      </c>
    </row>
    <row r="17" spans="4:10" x14ac:dyDescent="0.35">
      <c r="G17" s="14">
        <f t="shared" si="3"/>
        <v>0</v>
      </c>
      <c r="H17" s="14">
        <f t="shared" si="4"/>
        <v>0</v>
      </c>
      <c r="I17" s="14">
        <f t="shared" si="5"/>
        <v>0</v>
      </c>
      <c r="J17" s="14">
        <f t="shared" si="6"/>
        <v>0</v>
      </c>
    </row>
    <row r="18" spans="4:10" x14ac:dyDescent="0.35">
      <c r="D18" s="2" t="s">
        <v>24</v>
      </c>
    </row>
    <row r="19" spans="4:10" ht="45" customHeight="1" x14ac:dyDescent="0.35">
      <c r="D19" s="25" t="s">
        <v>23</v>
      </c>
      <c r="E19" s="25"/>
      <c r="F19" s="25"/>
    </row>
    <row r="28" spans="4:10" x14ac:dyDescent="0.35">
      <c r="E28" t="s">
        <v>17</v>
      </c>
    </row>
  </sheetData>
  <mergeCells count="3">
    <mergeCell ref="A1:D1"/>
    <mergeCell ref="G13:H13"/>
    <mergeCell ref="D19:F19"/>
  </mergeCells>
  <conditionalFormatting sqref="J8:J10">
    <cfRule type="expression" dxfId="0" priority="1">
      <formula>$J$8&lt;&gt;0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cp:lastPrinted>2025-12-26T09:12:45Z</cp:lastPrinted>
  <dcterms:created xsi:type="dcterms:W3CDTF">2025-12-25T13:57:55Z</dcterms:created>
  <dcterms:modified xsi:type="dcterms:W3CDTF">2025-12-26T09:13:31Z</dcterms:modified>
</cp:coreProperties>
</file>